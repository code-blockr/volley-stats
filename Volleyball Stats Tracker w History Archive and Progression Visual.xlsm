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renee\Downloads\"/>
    </mc:Choice>
  </mc:AlternateContent>
  <xr:revisionPtr revIDLastSave="0" documentId="13_ncr:1_{4E28FEEB-3BDC-4723-BE8E-B2BEEE2F95A9}" xr6:coauthVersionLast="47" xr6:coauthVersionMax="47" xr10:uidLastSave="{00000000-0000-0000-0000-000000000000}"/>
  <bookViews>
    <workbookView xWindow="-120" yWindow="-120" windowWidth="29040" windowHeight="15720" xr2:uid="{BE62B751-7F3D-4C79-9680-9DD42AF88DE3}"/>
  </bookViews>
  <sheets>
    <sheet name="Tracker" sheetId="1" r:id="rId1"/>
  </sheets>
  <definedNames>
    <definedName name="_xlcn.WorksheetConnection_VolleyballStatsTracker.xlsmTable21" hidden="1">History[]</definedName>
    <definedName name="_xleta.TODAY" hidden="1" xlm="1">#NAME?</definedName>
    <definedName name="ATTEMPTS">Tracker!$B$9</definedName>
    <definedName name="CONTINUED">Tracker!$B$7</definedName>
    <definedName name="ERROR">Tracker!$B$5</definedName>
    <definedName name="KILLS">Tracker!$B$3</definedName>
  </definedNames>
  <calcPr calcId="191029" iterate="1" iterateCount="1"/>
  <extLst>
    <ext xmlns:x15="http://schemas.microsoft.com/office/spreadsheetml/2010/11/main" uri="{841E416B-1EF1-43b6-AB56-02D37102CBD5}">
      <x15:pivotCaches>
        <pivotCache cacheId="0" r:id="rId2"/>
      </x15:pivotCaches>
    </ext>
    <ext xmlns:x15="http://schemas.microsoft.com/office/spreadsheetml/2010/11/main" uri="{983426D0-5260-488c-9760-48F4B6AC55F4}">
      <x15:pivotTableReferences>
        <x15:pivotTableReference r:id="rId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" name="Table2" connection="WorksheetConnection_Volleyball Stats Tracker.xlsm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9" i="1" l="1"/>
  <c r="J7" i="1" s="1"/>
  <c r="J3" i="1" l="1"/>
  <c r="J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75E3C3-B415-43D1-B8B1-919DEB17585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C49332E-F8B4-45FD-A944-7AA18F831772}" name="WorksheetConnection_Volleyball Stats Tracker.xlsm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_xlcn.WorksheetConnection_VolleyballStatsTracker.xlsmTable21"/>
        </x15:connection>
      </ext>
    </extLst>
  </connection>
</connections>
</file>

<file path=xl/sharedStrings.xml><?xml version="1.0" encoding="utf-8"?>
<sst xmlns="http://schemas.openxmlformats.org/spreadsheetml/2006/main" count="15" uniqueCount="15">
  <si>
    <t>Stats Tracker</t>
  </si>
  <si>
    <t>Kills:</t>
  </si>
  <si>
    <t>Erros:</t>
  </si>
  <si>
    <t>Continued:</t>
  </si>
  <si>
    <t>TOTAL ATTEMPTS:</t>
  </si>
  <si>
    <t>ERROR %</t>
  </si>
  <si>
    <t>KILL %</t>
  </si>
  <si>
    <t>EFFICIENCY %</t>
  </si>
  <si>
    <t>Date</t>
  </si>
  <si>
    <t>Event</t>
  </si>
  <si>
    <t>Kill %</t>
  </si>
  <si>
    <t xml:space="preserve">Error % </t>
  </si>
  <si>
    <t>Efficiency %</t>
  </si>
  <si>
    <t>Event Date</t>
  </si>
  <si>
    <t>Attempts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</si>
</sst>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rgb="FF1F4E79"/>
      <name val="Aptos Narrow"/>
      <family val="2"/>
      <scheme val="minor"/>
    </font>
    <font>
      <b/>
      <sz val="28"/>
      <color theme="9" tint="-0.499984740745262"/>
      <name val="Aptos Narrow"/>
      <family val="2"/>
      <scheme val="minor"/>
    </font>
    <font>
      <b/>
      <sz val="28"/>
      <color theme="8" tint="-0.499984740745262"/>
      <name val="Aptos Narrow"/>
      <family val="2"/>
      <scheme val="minor"/>
    </font>
    <font>
      <b/>
      <sz val="28"/>
      <color theme="4" tint="-0.499984740745262"/>
      <name val="Aptos Narrow"/>
      <family val="2"/>
      <scheme val="minor"/>
    </font>
    <font>
      <b/>
      <sz val="11"/>
      <color theme="4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1"/>
      <color theme="8" tint="-0.499984740745262"/>
      <name val="Aptos Narrow"/>
      <family val="2"/>
      <scheme val="minor"/>
    </font>
    <font>
      <sz val="11"/>
      <color theme="4" tint="-0.499984740745262"/>
      <name val="Aptos Narrow"/>
      <family val="2"/>
      <scheme val="minor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theme="1"/>
      </patternFill>
    </fill>
  </fills>
  <borders count="2">
    <border>
      <left/>
      <right/>
      <top/>
      <bottom/>
      <diagonal/>
    </border>
    <border>
      <left style="thin">
        <color theme="1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4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5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22" fontId="0" fillId="0" borderId="0" xfId="0" applyNumberFormat="1"/>
    <xf numFmtId="0" fontId="11" fillId="0" borderId="0" xfId="0" applyFont="1"/>
    <xf numFmtId="0" fontId="2" fillId="6" borderId="1" xfId="0" applyFont="1" applyFill="1" applyBorder="1"/>
    <xf numFmtId="0" fontId="2" fillId="6" borderId="0" xfId="0" applyFont="1" applyFill="1"/>
    <xf numFmtId="14" fontId="11" fillId="0" borderId="0" xfId="0" quotePrefix="1" applyNumberFormat="1" applyFont="1"/>
    <xf numFmtId="14" fontId="11" fillId="0" borderId="0" xfId="0" applyNumberFormat="1" applyFont="1"/>
    <xf numFmtId="1" fontId="0" fillId="0" borderId="0" xfId="0" applyNumberFormat="1"/>
    <xf numFmtId="9" fontId="11" fillId="0" borderId="0" xfId="1" applyFont="1"/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9" fontId="0" fillId="2" borderId="0" xfId="1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9" fontId="0" fillId="3" borderId="0" xfId="1" applyFont="1" applyFill="1" applyAlignment="1">
      <alignment horizontal="center" vertical="center"/>
    </xf>
    <xf numFmtId="9" fontId="0" fillId="5" borderId="0" xfId="1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Aptos Narrow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Aptos Narrow"/>
        <family val="2"/>
        <scheme val="minor"/>
      </font>
      <numFmt numFmtId="19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Aptos Narrow"/>
        <family val="2"/>
        <scheme val="minor"/>
      </font>
      <numFmt numFmtId="19" formatCode="yyyy/mm/dd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microsoft.com/office/2006/relationships/vbaProject" Target="vbaProject.bin"/><Relationship Id="rId3" Type="http://schemas.openxmlformats.org/officeDocument/2006/relationships/pivotTable" Target="pivotTables/pivotTable1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pivotCacheDefinition" Target="pivotCache/pivotCacheDefinition1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connections" Target="connections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0"/>
    <c:pivotFmts>
      <c:pivotFmt>
        <c:idx val="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v>Total Attempts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2026-04</c:v>
              </c:pt>
            </c:strLit>
          </c:cat>
          <c:val>
            <c:numLit>
              <c:formatCode>General</c:formatCode>
              <c:ptCount val="1"/>
              <c:pt idx="0">
                <c:v>102</c:v>
              </c:pt>
            </c:numLit>
          </c:val>
          <c:extLst>
            <c:ext xmlns:c16="http://schemas.microsoft.com/office/drawing/2014/chart" uri="{C3380CC4-5D6E-409C-BE32-E72D297353CC}">
              <c16:uniqueId val="{00000003-2B69-4E37-9945-B2455F3A8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92483167"/>
        <c:axId val="1192483647"/>
      </c:barChart>
      <c:lineChart>
        <c:grouping val="standard"/>
        <c:varyColors val="0"/>
        <c:ser>
          <c:idx val="0"/>
          <c:order val="0"/>
          <c:tx>
            <c:v>Avg Efficiency %</c:v>
          </c:tx>
          <c:spPr>
            <a:ln w="2857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1"/>
              <c:pt idx="0">
                <c:v>2026-04</c:v>
              </c:pt>
            </c:strLit>
          </c:cat>
          <c:val>
            <c:numLit>
              <c:formatCode>General</c:formatCode>
              <c:ptCount val="1"/>
              <c:pt idx="0">
                <c:v>0.02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B69-4E37-9945-B2455F3A8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776319"/>
        <c:axId val="1212778239"/>
      </c:lineChart>
      <c:catAx>
        <c:axId val="119248316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83647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9248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83167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valAx>
        <c:axId val="1212778239"/>
        <c:scaling>
          <c:orientation val="minMax"/>
          <c:max val="1"/>
          <c:min val="-0.5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2776319"/>
        <c:crosses val="max"/>
        <c:crossBetween val="between"/>
      </c:valAx>
      <c:catAx>
        <c:axId val="1212776319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212778239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[Volleyball Stats Tracker w History Archive and Progression Visual.xlsm]PivotChartTable1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max="30000" page="10" val="0"/>
</file>

<file path=xl/ctrlProps/ctrlProp2.xml><?xml version="1.0" encoding="utf-8"?>
<formControlPr xmlns="http://schemas.microsoft.com/office/spreadsheetml/2009/9/main" objectType="Spin" dx="22" max="30000" page="10" val="0"/>
</file>

<file path=xl/ctrlProps/ctrlProp3.xml><?xml version="1.0" encoding="utf-8"?>
<formControlPr xmlns="http://schemas.microsoft.com/office/spreadsheetml/2009/9/main" objectType="Spin" dx="22" max="30000" page="1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2</xdr:row>
          <xdr:rowOff>9525</xdr:rowOff>
        </xdr:from>
        <xdr:to>
          <xdr:col>4</xdr:col>
          <xdr:colOff>428625</xdr:colOff>
          <xdr:row>2</xdr:row>
          <xdr:rowOff>466725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4</xdr:row>
          <xdr:rowOff>9525</xdr:rowOff>
        </xdr:from>
        <xdr:to>
          <xdr:col>4</xdr:col>
          <xdr:colOff>428625</xdr:colOff>
          <xdr:row>5</xdr:row>
          <xdr:rowOff>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6</xdr:row>
          <xdr:rowOff>9525</xdr:rowOff>
        </xdr:from>
        <xdr:to>
          <xdr:col>4</xdr:col>
          <xdr:colOff>428625</xdr:colOff>
          <xdr:row>6</xdr:row>
          <xdr:rowOff>466725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8</xdr:row>
          <xdr:rowOff>38100</xdr:rowOff>
        </xdr:from>
        <xdr:to>
          <xdr:col>4</xdr:col>
          <xdr:colOff>323850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Counters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9</xdr:row>
          <xdr:rowOff>133350</xdr:rowOff>
        </xdr:from>
        <xdr:to>
          <xdr:col>4</xdr:col>
          <xdr:colOff>333375</xdr:colOff>
          <xdr:row>11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to History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685800</xdr:colOff>
      <xdr:row>1</xdr:row>
      <xdr:rowOff>152401</xdr:rowOff>
    </xdr:from>
    <xdr:to>
      <xdr:col>20</xdr:col>
      <xdr:colOff>6350</xdr:colOff>
      <xdr:row>8</xdr:row>
      <xdr:rowOff>219076</xdr:rowOff>
    </xdr:to>
    <xdr:graphicFrame macro="">
      <xdr:nvGraphicFramePr>
        <xdr:cNvPr id="4" name="ProgressTracker">
          <a:extLst>
            <a:ext uri="{FF2B5EF4-FFF2-40B4-BE49-F238E27FC236}">
              <a16:creationId xmlns:a16="http://schemas.microsoft.com/office/drawing/2014/main" id="{BB4DB7B2-1DA3-CF72-2A37-4E29CAAC1D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enee Helmer" refreshedDate="46137.586962847221" createdVersion="5" refreshedVersion="8" minRefreshableVersion="3" recordCount="0" supportSubquery="1" supportAdvancedDrill="1" xr:uid="{992DFA06-409E-42F3-8E72-C484923EF17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Table2].[Event Date].[Event Date]" caption="Event Date" numFmtId="0" hierarchy="2" level="1">
      <sharedItems count="1">
        <s v="2026-04"/>
      </sharedItems>
    </cacheField>
    <cacheField name="[Measures].[Average of Efficiency %]" caption="Average of Efficiency %" numFmtId="0" hierarchy="10" level="32767"/>
    <cacheField name="[Measures].[Sum of Attempts]" caption="Sum of Attempts" numFmtId="0" hierarchy="11" level="32767"/>
  </cacheFields>
  <cacheHierarchies count="12">
    <cacheHierarchy uniqueName="[Table2].[Date]" caption="Date" attribute="1" time="1" defaultMemberUniqueName="[Table2].[Date].[All]" allUniqueName="[Table2].[Date].[All]" dimensionUniqueName="[Table2]" displayFolder="" count="0" memberValueDatatype="7" unbalanced="0"/>
    <cacheHierarchy uniqueName="[Table2].[Event]" caption="Event" attribute="1" defaultMemberUniqueName="[Table2].[Event].[All]" allUniqueName="[Table2].[Event].[All]" dimensionUniqueName="[Table2]" displayFolder="" count="0" memberValueDatatype="130" unbalanced="0"/>
    <cacheHierarchy uniqueName="[Table2].[Event Date]" caption="Event Date" attribute="1" defaultMemberUniqueName="[Table2].[Event Date].[All]" allUniqueName="[Table2].[Event Date].[All]" dimensionUniqueName="[Table2]" displayFolder="" count="2" memberValueDatatype="130" unbalanced="0">
      <fieldsUsage count="2">
        <fieldUsage x="-1"/>
        <fieldUsage x="0"/>
      </fieldsUsage>
    </cacheHierarchy>
    <cacheHierarchy uniqueName="[Table2].[Kill %]" caption="Kill %" attribute="1" defaultMemberUniqueName="[Table2].[Kill %].[All]" allUniqueName="[Table2].[Kill %].[All]" dimensionUniqueName="[Table2]" displayFolder="" count="0" memberValueDatatype="5" unbalanced="0"/>
    <cacheHierarchy uniqueName="[Table2].[Error %]" caption="Error %" attribute="1" defaultMemberUniqueName="[Table2].[Error %].[All]" allUniqueName="[Table2].[Error %].[All]" dimensionUniqueName="[Table2]" displayFolder="" count="0" memberValueDatatype="5" unbalanced="0"/>
    <cacheHierarchy uniqueName="[Table2].[Efficiency %]" caption="Efficiency %" attribute="1" defaultMemberUniqueName="[Table2].[Efficiency %].[All]" allUniqueName="[Table2].[Efficiency %].[All]" dimensionUniqueName="[Table2]" displayFolder="" count="0" memberValueDatatype="5" unbalanced="0"/>
    <cacheHierarchy uniqueName="[Table2].[Attempts]" caption="Attempts" attribute="1" defaultMemberUniqueName="[Table2].[Attempts].[All]" allUniqueName="[Table2].[Attempts].[All]" dimensionUniqueName="[Table2]" displayFolder="" count="0" memberValueDatatype="20" unbalanced="0"/>
    <cacheHierarchy uniqueName="[Measures].[__XL_Count Table2]" caption="__XL_Count Table2" measure="1" displayFolder="" measureGroup="Table2" count="0" hidden="1"/>
    <cacheHierarchy uniqueName="[Measures].[__No measures defined]" caption="__No measures defined" measure="1" displayFolder="" count="0" hidden="1"/>
    <cacheHierarchy uniqueName="[Measures].[Sum of Efficiency %]" caption="Sum of Efficiency %" measure="1" displayFolder="" measureGroup="Table2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Efficiency %]" caption="Average of Efficiency %" measure="1" displayFolder="" measureGroup="Table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ttempts]" caption="Sum of Attempts" measure="1" displayFolder="" measureGroup="Table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Table2" uniqueName="[Table2]" caption="Table2"/>
  </dimensions>
  <measureGroups count="1">
    <measureGroup name="Table2" caption="Table2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38884463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143A20-4AAA-4F3E-B9E4-ECD89D87712E}" name="PivotChar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4">
  <location ref="A1:C3" firstHeaderRow="0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Avg Efficiency %" fld="1" subtotal="average" baseField="0" baseItem="0"/>
    <dataField name="Total Attempts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1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Avg Efficiency %"/>
    <pivotHierarchy dragToData="1" caption="Total Attempts"/>
  </pivotHierarchies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2" cacheId="388844638">
        <x15:pivotRow count="2">
          <x15:c>
            <x15:v>0.02</x15:v>
          </x15:c>
          <x15:c>
            <x15:v>102</x15:v>
          </x15:c>
        </x15:pivotRow>
        <x15:pivotRow count="2">
          <x15:c>
            <x15:v>0.02</x15:v>
          </x15:c>
          <x15:c>
            <x15:v>102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able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01629D-F137-498C-A14F-B603CA945865}" name="History" displayName="History" ref="G11:M12" totalsRowShown="0" headerRowDxfId="9" dataDxfId="8" tableBorderDxfId="7">
  <autoFilter ref="G11:M12" xr:uid="{FD01629D-F137-498C-A14F-B603CA945865}"/>
  <tableColumns count="7">
    <tableColumn id="1" xr3:uid="{F4C37995-C4BE-451F-A2BC-B03D47C7A7B9}" name="Date" dataDxfId="6"/>
    <tableColumn id="2" xr3:uid="{C804E663-2175-434F-8786-F111BD828E78}" name="Event" dataDxfId="5"/>
    <tableColumn id="3" xr3:uid="{19C4D186-F53D-45EB-94DC-59BB4ABB74C4}" name="Event Date" dataDxfId="4"/>
    <tableColumn id="4" xr3:uid="{3235BB9D-8197-418D-9333-05105629EE9E}" name="Kill %" dataDxfId="3" dataCellStyle="Percent"/>
    <tableColumn id="5" xr3:uid="{76C8A343-54D1-4EF6-9EB7-507C236D7F5E}" name="Error % " dataDxfId="2" dataCellStyle="Percent"/>
    <tableColumn id="6" xr3:uid="{90231018-9624-4378-8716-167552C4E4B5}" name="Efficiency %" dataDxfId="1" dataCellStyle="Percent"/>
    <tableColumn id="7" xr3:uid="{B87E6FDA-F189-49E0-AC4D-4961561330E0}" name="Attempts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B364-48AF-4475-B788-994845BE2241}">
  <sheetPr codeName="Sheet1"/>
  <dimension ref="A1:M12"/>
  <sheetViews>
    <sheetView showGridLines="0" tabSelected="1" workbookViewId="0">
      <selection activeCell="N20" sqref="N20"/>
    </sheetView>
  </sheetViews>
  <sheetFormatPr defaultRowHeight="15" x14ac:dyDescent="0.25"/>
  <cols>
    <col min="1" max="1" width="17.7109375" bestFit="1" customWidth="1"/>
    <col min="2" max="2" width="19" customWidth="1"/>
    <col min="3" max="4" width="9.140625" customWidth="1"/>
    <col min="7" max="7" width="15.5703125" bestFit="1" customWidth="1"/>
    <col min="8" max="8" width="14" bestFit="1" customWidth="1"/>
    <col min="9" max="10" width="11" customWidth="1"/>
    <col min="11" max="11" width="14.140625" customWidth="1"/>
    <col min="12" max="12" width="15.5703125" bestFit="1" customWidth="1"/>
  </cols>
  <sheetData>
    <row r="1" spans="1:13" ht="21" x14ac:dyDescent="0.35">
      <c r="A1" s="1" t="s">
        <v>0</v>
      </c>
    </row>
    <row r="3" spans="1:13" ht="39.950000000000003" customHeight="1" x14ac:dyDescent="0.25">
      <c r="A3" s="8" t="s">
        <v>1</v>
      </c>
      <c r="B3" s="4">
        <v>0</v>
      </c>
      <c r="G3" s="19" t="s">
        <v>6</v>
      </c>
      <c r="H3" s="19"/>
      <c r="I3" s="19"/>
      <c r="J3" s="20">
        <f>IF(ATTEMPTS&gt;0,KILLS/ATTEMPTS,0)</f>
        <v>0</v>
      </c>
      <c r="K3" s="20"/>
    </row>
    <row r="4" spans="1:13" x14ac:dyDescent="0.25">
      <c r="A4" s="2"/>
      <c r="G4" s="19"/>
      <c r="H4" s="19"/>
      <c r="I4" s="19"/>
      <c r="J4" s="20"/>
      <c r="K4" s="20"/>
    </row>
    <row r="5" spans="1:13" ht="36" x14ac:dyDescent="0.25">
      <c r="A5" s="9" t="s">
        <v>2</v>
      </c>
      <c r="B5" s="5">
        <v>0</v>
      </c>
      <c r="G5" s="21" t="s">
        <v>5</v>
      </c>
      <c r="H5" s="21"/>
      <c r="I5" s="21"/>
      <c r="J5" s="22">
        <f>IF(ATTEMPTS&gt;0,ERROR/ATTEMPTS,0)</f>
        <v>0</v>
      </c>
      <c r="K5" s="22"/>
    </row>
    <row r="6" spans="1:13" x14ac:dyDescent="0.25">
      <c r="A6" s="3"/>
      <c r="G6" s="21"/>
      <c r="H6" s="21"/>
      <c r="I6" s="21"/>
      <c r="J6" s="22"/>
      <c r="K6" s="22"/>
    </row>
    <row r="7" spans="1:13" ht="36" x14ac:dyDescent="0.25">
      <c r="A7" s="7" t="s">
        <v>3</v>
      </c>
      <c r="B7" s="6">
        <v>0</v>
      </c>
      <c r="G7" s="18" t="s">
        <v>7</v>
      </c>
      <c r="H7" s="18"/>
      <c r="I7" s="18"/>
      <c r="J7" s="23">
        <f>IF(ATTEMPTS&gt;0,(KILLS-ERROR)/ATTEMPTS,0)</f>
        <v>0</v>
      </c>
      <c r="K7" s="23"/>
      <c r="L7" s="10"/>
    </row>
    <row r="9" spans="1:13" ht="36" x14ac:dyDescent="0.25">
      <c r="A9" s="7" t="s">
        <v>4</v>
      </c>
      <c r="B9" s="6">
        <f>SUM(KILLS,B5,B7)</f>
        <v>0</v>
      </c>
    </row>
    <row r="11" spans="1:13" x14ac:dyDescent="0.25">
      <c r="G11" s="12" t="s">
        <v>8</v>
      </c>
      <c r="H11" s="13" t="s">
        <v>9</v>
      </c>
      <c r="I11" s="13" t="s">
        <v>13</v>
      </c>
      <c r="J11" s="13" t="s">
        <v>10</v>
      </c>
      <c r="K11" s="13" t="s">
        <v>11</v>
      </c>
      <c r="L11" s="13" t="s">
        <v>12</v>
      </c>
      <c r="M11" s="13" t="s">
        <v>14</v>
      </c>
    </row>
    <row r="12" spans="1:13" x14ac:dyDescent="0.25">
      <c r="G12" s="14"/>
      <c r="H12" s="11"/>
      <c r="I12" s="15"/>
      <c r="J12" s="17"/>
      <c r="K12" s="17"/>
      <c r="L12" s="17"/>
      <c r="M12" s="16"/>
    </row>
  </sheetData>
  <mergeCells count="6">
    <mergeCell ref="G7:I7"/>
    <mergeCell ref="G3:I4"/>
    <mergeCell ref="J3:K4"/>
    <mergeCell ref="G5:I6"/>
    <mergeCell ref="J5:K6"/>
    <mergeCell ref="J7:K7"/>
  </mergeCells>
  <conditionalFormatting sqref="J7:K7">
    <cfRule type="cellIs" dxfId="11" priority="1" operator="greaterThan">
      <formula>0.9</formula>
    </cfRule>
    <cfRule type="cellIs" dxfId="10" priority="3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pinner 2">
              <controlPr defaultSize="0" autoPict="0" macro="[0]!KillCounter_Change">
                <anchor moveWithCells="1" sizeWithCells="1">
                  <from>
                    <xdr:col>2</xdr:col>
                    <xdr:colOff>295275</xdr:colOff>
                    <xdr:row>2</xdr:row>
                    <xdr:rowOff>9525</xdr:rowOff>
                  </from>
                  <to>
                    <xdr:col>4</xdr:col>
                    <xdr:colOff>428625</xdr:colOff>
                    <xdr:row>2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Spinner 3">
              <controlPr defaultSize="0" autoPict="0" macro="[0]!ErrorCounter_Change">
                <anchor moveWithCells="1" sizeWithCells="1">
                  <from>
                    <xdr:col>2</xdr:col>
                    <xdr:colOff>295275</xdr:colOff>
                    <xdr:row>4</xdr:row>
                    <xdr:rowOff>9525</xdr:rowOff>
                  </from>
                  <to>
                    <xdr:col>4</xdr:col>
                    <xdr:colOff>428625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pinner 4">
              <controlPr defaultSize="0" autoPict="0" macro="[0]!ContinuedCounter_Change">
                <anchor moveWithCells="1" sizeWithCells="1">
                  <from>
                    <xdr:col>2</xdr:col>
                    <xdr:colOff>295275</xdr:colOff>
                    <xdr:row>6</xdr:row>
                    <xdr:rowOff>9525</xdr:rowOff>
                  </from>
                  <to>
                    <xdr:col>4</xdr:col>
                    <xdr:colOff>428625</xdr:colOff>
                    <xdr:row>6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setSpinCounters">
                <anchor moveWithCells="1" sizeWithCells="1">
                  <from>
                    <xdr:col>2</xdr:col>
                    <xdr:colOff>342900</xdr:colOff>
                    <xdr:row>8</xdr:row>
                    <xdr:rowOff>38100</xdr:rowOff>
                  </from>
                  <to>
                    <xdr:col>4</xdr:col>
                    <xdr:colOff>323850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cordHistory">
                <anchor moveWithCells="1" sizeWithCells="1">
                  <from>
                    <xdr:col>2</xdr:col>
                    <xdr:colOff>371475</xdr:colOff>
                    <xdr:row>9</xdr:row>
                    <xdr:rowOff>133350</xdr:rowOff>
                  </from>
                  <to>
                    <xdr:col>4</xdr:col>
                    <xdr:colOff>333375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E9C1D94E-0179-4E34-BF79-1AD81DBE4616}">
  <ds:schemaRefs/>
</ds:datastoreItem>
</file>

<file path=customXml/itemProps2.xml><?xml version="1.0" encoding="utf-8"?>
<ds:datastoreItem xmlns:ds="http://schemas.openxmlformats.org/officeDocument/2006/customXml" ds:itemID="{14BE3D70-7A58-43C7-AA2C-EBE75187B7FD}">
  <ds:schemaRefs/>
</ds:datastoreItem>
</file>

<file path=customXml/itemProps3.xml><?xml version="1.0" encoding="utf-8"?>
<ds:datastoreItem xmlns:ds="http://schemas.openxmlformats.org/officeDocument/2006/customXml" ds:itemID="{4946D3BE-2686-46D2-9390-74198F835491}">
  <ds:schemaRefs/>
</ds:datastoreItem>
</file>

<file path=customXml/itemProps4.xml><?xml version="1.0" encoding="utf-8"?>
<ds:datastoreItem xmlns:ds="http://schemas.openxmlformats.org/officeDocument/2006/customXml" ds:itemID="{FC851E7D-6717-4187-95AF-600B6784C255}">
  <ds:schemaRefs/>
</ds:datastoreItem>
</file>

<file path=customXml/itemProps5.xml><?xml version="1.0" encoding="utf-8"?>
<ds:datastoreItem xmlns:ds="http://schemas.openxmlformats.org/officeDocument/2006/customXml" ds:itemID="{B4518834-A800-4720-B3E2-05E00D56DF43}">
  <ds:schemaRefs/>
</ds:datastoreItem>
</file>

<file path=customXml/itemProps6.xml><?xml version="1.0" encoding="utf-8"?>
<ds:datastoreItem xmlns:ds="http://schemas.openxmlformats.org/officeDocument/2006/customXml" ds:itemID="{DA8E2582-6C17-4A64-A685-268BB29C979C}">
  <ds:schemaRefs/>
</ds:datastoreItem>
</file>

<file path=customXml/itemProps7.xml><?xml version="1.0" encoding="utf-8"?>
<ds:datastoreItem xmlns:ds="http://schemas.openxmlformats.org/officeDocument/2006/customXml" ds:itemID="{18DCF78D-4B4F-49BA-9E95-99DD05330251}">
  <ds:schemaRefs/>
</ds:datastoreItem>
</file>

<file path=customXml/itemProps8.xml><?xml version="1.0" encoding="utf-8"?>
<ds:datastoreItem xmlns:ds="http://schemas.openxmlformats.org/officeDocument/2006/customXml" ds:itemID="{EC5C653E-2E88-4D14-9120-BF7B354A9EA1}">
  <ds:schemaRefs/>
</ds:datastoreItem>
</file>

<file path=customXml/itemProps9.xml><?xml version="1.0" encoding="utf-8"?>
<ds:datastoreItem xmlns:ds="http://schemas.openxmlformats.org/officeDocument/2006/customXml" ds:itemID="{733F3DDB-BFFB-40CB-8A04-03701294C39A}">
  <ds:schemaRefs/>
</ds:datastoreItem>
</file>

<file path=customXml/itemProps10.xml><?xml version="1.0" encoding="utf-8"?>
<ds:datastoreItem xmlns:ds="http://schemas.openxmlformats.org/officeDocument/2006/customXml" ds:itemID="{1210104C-A314-495C-B667-79906DA1805C}">
  <ds:schemaRefs/>
</ds:datastoreItem>
</file>

<file path=customXml/itemProps11.xml><?xml version="1.0" encoding="utf-8"?>
<ds:datastoreItem xmlns:ds="http://schemas.openxmlformats.org/officeDocument/2006/customXml" ds:itemID="{ED525D40-1CF6-4E37-8C9A-CF9526A18C36}">
  <ds:schemaRefs/>
</ds:datastoreItem>
</file>

<file path=customXml/itemProps12.xml><?xml version="1.0" encoding="utf-8"?>
<ds:datastoreItem xmlns:ds="http://schemas.openxmlformats.org/officeDocument/2006/customXml" ds:itemID="{C388D9E5-07D0-44BA-AA53-9E8BD640943B}">
  <ds:schemaRefs/>
</ds:datastoreItem>
</file>

<file path=customXml/itemProps13.xml><?xml version="1.0" encoding="utf-8"?>
<ds:datastoreItem xmlns:ds="http://schemas.openxmlformats.org/officeDocument/2006/customXml" ds:itemID="{AC6573F2-E4CA-4FC4-B1CD-F8F1A423D78F}">
  <ds:schemaRefs/>
</ds:datastoreItem>
</file>

<file path=customXml/itemProps14.xml><?xml version="1.0" encoding="utf-8"?>
<ds:datastoreItem xmlns:ds="http://schemas.openxmlformats.org/officeDocument/2006/customXml" ds:itemID="{60347797-355B-4BEF-B2C7-F6D79FF22F19}">
  <ds:schemaRefs/>
</ds:datastoreItem>
</file>

<file path=customXml/itemProps15.xml><?xml version="1.0" encoding="utf-8"?>
<ds:datastoreItem xmlns:ds="http://schemas.openxmlformats.org/officeDocument/2006/customXml" ds:itemID="{D6FC2E14-5292-4BF5-AC2E-875B95771FEA}">
  <ds:schemaRefs/>
</ds:datastoreItem>
</file>

<file path=customXml/itemProps16.xml><?xml version="1.0" encoding="utf-8"?>
<ds:datastoreItem xmlns:ds="http://schemas.openxmlformats.org/officeDocument/2006/customXml" ds:itemID="{4BFB4AA4-5AC0-4D34-90B8-E284FDAAFB6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Tracker</vt:lpstr>
      <vt:lpstr>ATTEMPTS</vt:lpstr>
      <vt:lpstr>CONTINUED</vt:lpstr>
      <vt:lpstr>ERROR</vt:lpstr>
      <vt:lpstr>KILLS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Renee Helmer</dc:creator>
  <cp:lastModifiedBy>Renee Helmer</cp:lastModifiedBy>
  <dcterms:created xsi:type="dcterms:W3CDTF">2026-04-25T14:27:09Z</dcterms:created>
  <dcterms:modified xsi:type="dcterms:W3CDTF">2026-04-25T18:12:41Z</dcterms:modified>
</cp:coreProperties>
</file>